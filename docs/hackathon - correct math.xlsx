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8u4oBaTtj4tkq+Kc5nNBU061TK2gAg+43lak5KLqLNU="/>
    </ext>
  </extLst>
</workbook>
</file>

<file path=xl/sharedStrings.xml><?xml version="1.0" encoding="utf-8"?>
<sst xmlns="http://schemas.openxmlformats.org/spreadsheetml/2006/main" count="148" uniqueCount="96">
  <si>
    <t>Casino</t>
  </si>
  <si>
    <t>Mints 500 Yes, 500 No, 500 USD.  THe 500 USD gets paid to the winner Yes or No.</t>
  </si>
  <si>
    <t>Keep buying YES</t>
  </si>
  <si>
    <t>YES got more expensive</t>
  </si>
  <si>
    <t>Supply of YES is conserved — no minting occurred</t>
  </si>
  <si>
    <t>Adds 500 YES + 500 USDC into the YES/USDC pool</t>
  </si>
  <si>
    <t>this is a different $500</t>
  </si>
  <si>
    <t>Vault is uninvolved in secondary market trades</t>
  </si>
  <si>
    <t>Adds 500 NO + 500 USDC into the NO/USDC pool</t>
  </si>
  <si>
    <t xml:space="preserve">Vault pays the full </t>
  </si>
  <si>
    <t>Pool #</t>
  </si>
  <si>
    <t>Pool</t>
  </si>
  <si>
    <t>Token Reserve</t>
  </si>
  <si>
    <t>USDC Reserve</t>
  </si>
  <si>
    <t>Invariant (k = x·y)</t>
  </si>
  <si>
    <t xml:space="preserve"> price ($/token)</t>
  </si>
  <si>
    <t>probability</t>
  </si>
  <si>
    <t>YES/USDC</t>
  </si>
  <si>
    <t>500 YES</t>
  </si>
  <si>
    <t>500 USDC</t>
  </si>
  <si>
    <t>prompt</t>
  </si>
  <si>
    <t>NO/USDC</t>
  </si>
  <si>
    <t>500 NO</t>
  </si>
  <si>
    <t>in step 1 buy 100 shares. Calculate the price to be 125 and add an expect to check.  in step 2 do so again: buy 100 shares, calculate the price to be 208.3, and add an expect to check.  in step 3, buy 1 USD</t>
  </si>
  <si>
    <t>User  A buys 100 Y</t>
  </si>
  <si>
    <t xml:space="preserve"> pays USD</t>
  </si>
  <si>
    <t>(400 Yes ) * ($500 - n) = 2500</t>
  </si>
  <si>
    <t>User b buys 100 Y</t>
  </si>
  <si>
    <t>(400 Yes ) * ($625 - n) = 2500</t>
  </si>
  <si>
    <t>user c buys $1 of Y</t>
  </si>
  <si>
    <t>(300 yes - n) * (834 +1) = 250000</t>
  </si>
  <si>
    <t>gets</t>
  </si>
  <si>
    <t>getAmountIn</t>
  </si>
  <si>
    <t>get price</t>
  </si>
  <si>
    <t xml:space="preserve">amount in </t>
  </si>
  <si>
    <t>100 shares</t>
  </si>
  <si>
    <t>amountOut2,</t>
  </si>
  <si>
    <t>amountOut</t>
  </si>
  <si>
    <t>amount out</t>
  </si>
  <si>
    <t>newNoReserve,</t>
  </si>
  <si>
    <t>reserveUsdc</t>
  </si>
  <si>
    <t>newYesReserve</t>
  </si>
  <si>
    <t>reserveToken</t>
  </si>
  <si>
    <t>In</t>
  </si>
  <si>
    <t>tokens</t>
  </si>
  <si>
    <t>getAmountOut</t>
  </si>
  <si>
    <t>numerator</t>
  </si>
  <si>
    <t>out</t>
  </si>
  <si>
    <t>price</t>
  </si>
  <si>
    <t>denominator</t>
  </si>
  <si>
    <t>amountIn</t>
  </si>
  <si>
    <t>denom</t>
  </si>
  <si>
    <t>🧠 Why use a CFMM in a prediction market?</t>
  </si>
  <si>
    <t>1. Price = Implied Probability</t>
  </si>
  <si>
    <t>P</t>
  </si>
  <si>
    <t xml:space="preserve">expect </t>
  </si>
  <si>
    <t>mint</t>
  </si>
  <si>
    <t>If 1 YES token pays $1 if the event happens, then its price reflects the market's belief.</t>
  </si>
  <si>
    <t>pool</t>
  </si>
  <si>
    <t>alice</t>
  </si>
  <si>
    <t>$0.50 → 50% chance</t>
  </si>
  <si>
    <t>total</t>
  </si>
  <si>
    <t>Step 1</t>
  </si>
  <si>
    <t>$0.90 → 90% chance</t>
  </si>
  <si>
    <t>here</t>
  </si>
  <si>
    <t>CFMM ensures prices move automatically with buying/selling pressure:</t>
  </si>
  <si>
    <t>If someone buys lots of YES, price rises → implied probability goes up.</t>
  </si>
  <si>
    <t>Step 2</t>
  </si>
  <si>
    <t>If someone sells YES, price falls → belief goes down.</t>
  </si>
  <si>
    <t>2. Liquidity without Counterparty</t>
  </si>
  <si>
    <t>Traditional order books need buyers/sellers at each price.</t>
  </si>
  <si>
    <t>Step 3</t>
  </si>
  <si>
    <t>CFMM lets you trade anytime at a price determined by the curve.</t>
  </si>
  <si>
    <t>E.g. Polymarket, Uniswap, and other AMM-based systems work this way.</t>
  </si>
  <si>
    <t>Without CFMM, you'd need limit orders or market makers to manually adjust quotes.</t>
  </si>
  <si>
    <t>3. Price Impact = Confidence Weight</t>
  </si>
  <si>
    <t>The price impact is intentional:</t>
  </si>
  <si>
    <t>Buying a large number of YES tokens pushes the price up.</t>
  </si>
  <si>
    <t>This encodes how confident the buyer is in their belief.</t>
  </si>
  <si>
    <t>Larger bets = more confident = more price movement.</t>
  </si>
  <si>
    <t>This is why CFMMs are a natural fit: they reward early bettors with better prices and penalize late or large bettors unless they’re highly confident.</t>
  </si>
  <si>
    <t>🧮 But Why Not Cap the Price at $1?</t>
  </si>
  <si>
    <t>It is capped: a YES token can’t be worth more than $1 at resolution.</t>
  </si>
  <si>
    <t>But the market price before resolution reflects the current odds and demand.</t>
  </si>
  <si>
    <t>If someone is overpaying (e.g. paying $1.25 to win $1), it just means the curve pushed past their breakeven — and they lose if they're wrong.</t>
  </si>
  <si>
    <t>🔄 Summary: Why CFMM?</t>
  </si>
  <si>
    <t>Purpose</t>
  </si>
  <si>
    <t>Why CFMM Helps</t>
  </si>
  <si>
    <t>Belief Aggregation</t>
  </si>
  <si>
    <t>Price moves encode crowd belief</t>
  </si>
  <si>
    <t>Always-on Liquidity</t>
  </si>
  <si>
    <t>No need for counterparties</t>
  </si>
  <si>
    <t>Confidence-weighted Pricing</t>
  </si>
  <si>
    <t>Bigger bets shift price more</t>
  </si>
  <si>
    <t>Simplicity</t>
  </si>
  <si>
    <t>Easy math, no order book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</si>
</sst>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2" fontId="3" numFmtId="0" xfId="0" applyFill="1" applyFont="1"/>
    <xf borderId="0" fillId="0" fontId="4" numFmtId="0" xfId="0" applyFont="1"/>
    <xf borderId="0" fillId="0" fontId="5" numFmtId="0" xfId="0" applyFont="1"/>
    <xf borderId="0" fillId="0" fontId="3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3.13"/>
    <col customWidth="1" min="3" max="6" width="12.63"/>
  </cols>
  <sheetData>
    <row r="1" ht="15.75" customHeight="1">
      <c r="A1" s="1">
        <v>1.0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2"/>
      <c r="B2" s="1">
        <v>1.0</v>
      </c>
      <c r="C2" s="2" t="s">
        <v>1</v>
      </c>
      <c r="D2" s="2"/>
      <c r="E2" s="2"/>
      <c r="F2" s="2"/>
      <c r="G2" s="3"/>
      <c r="H2" s="2" t="s">
        <v>2</v>
      </c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"/>
      <c r="B3" s="1"/>
      <c r="C3" s="2"/>
      <c r="D3" s="2"/>
      <c r="E3" s="2"/>
      <c r="F3" s="2"/>
      <c r="G3" s="3"/>
      <c r="H3" s="4" t="s">
        <v>3</v>
      </c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2"/>
      <c r="B4" s="2"/>
      <c r="C4" s="2"/>
      <c r="D4" s="2"/>
      <c r="E4" s="2"/>
      <c r="F4" s="2"/>
      <c r="G4" s="3"/>
      <c r="H4" s="4" t="s">
        <v>4</v>
      </c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>
        <v>2.0</v>
      </c>
      <c r="B5" s="4" t="s">
        <v>0</v>
      </c>
      <c r="C5" s="2" t="s">
        <v>5</v>
      </c>
      <c r="D5" s="2"/>
      <c r="E5" s="2"/>
      <c r="F5" s="2" t="s">
        <v>6</v>
      </c>
      <c r="G5" s="3"/>
      <c r="H5" s="4" t="s">
        <v>7</v>
      </c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2"/>
      <c r="B6" s="3"/>
      <c r="C6" s="2" t="s">
        <v>8</v>
      </c>
      <c r="D6" s="2"/>
      <c r="E6" s="2"/>
      <c r="F6" s="2"/>
      <c r="G6" s="3"/>
      <c r="H6" s="2" t="s">
        <v>9</v>
      </c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5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2"/>
      <c r="H8" s="2" t="s">
        <v>15</v>
      </c>
      <c r="I8" s="2" t="s">
        <v>16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>
        <v>1.0</v>
      </c>
      <c r="C9" s="2" t="s">
        <v>17</v>
      </c>
      <c r="D9" s="2" t="s">
        <v>18</v>
      </c>
      <c r="E9" s="2" t="s">
        <v>19</v>
      </c>
      <c r="F9" s="1">
        <v>250000.0</v>
      </c>
      <c r="G9" s="1">
        <v>500.0</v>
      </c>
      <c r="H9" s="1">
        <v>1.0</v>
      </c>
      <c r="I9" s="2">
        <f>H10/sum(H9:H10)</f>
        <v>0.5</v>
      </c>
      <c r="J9" s="2" t="s">
        <v>20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2"/>
      <c r="B10" s="2">
        <v>2.0</v>
      </c>
      <c r="C10" s="2" t="s">
        <v>21</v>
      </c>
      <c r="D10" s="2" t="s">
        <v>22</v>
      </c>
      <c r="E10" s="2" t="s">
        <v>19</v>
      </c>
      <c r="F10" s="1">
        <v>250000.0</v>
      </c>
      <c r="G10" s="1">
        <v>500.0</v>
      </c>
      <c r="H10" s="1">
        <v>1.0</v>
      </c>
      <c r="I10" s="2">
        <f>1-I9</f>
        <v>0.5</v>
      </c>
      <c r="J10" s="2" t="s">
        <v>23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2">
        <v>3.0</v>
      </c>
      <c r="B12" s="2" t="s">
        <v>24</v>
      </c>
      <c r="C12" s="2" t="s">
        <v>25</v>
      </c>
      <c r="D12" s="4">
        <f>F9/(500-100)-G9</f>
        <v>125</v>
      </c>
      <c r="E12" s="2"/>
      <c r="F12" s="2" t="s">
        <v>26</v>
      </c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"/>
      <c r="B13" s="5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2"/>
      <c r="H13" s="2" t="s">
        <v>15</v>
      </c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>
        <v>1.0</v>
      </c>
      <c r="C14" s="2" t="s">
        <v>17</v>
      </c>
      <c r="D14" s="2">
        <v>400.0</v>
      </c>
      <c r="E14" s="2">
        <f>G9+D12</f>
        <v>625</v>
      </c>
      <c r="F14" s="1">
        <f>D14*E14</f>
        <v>250000</v>
      </c>
      <c r="G14" s="1">
        <v>500.0</v>
      </c>
      <c r="H14" s="1">
        <f>E14/D14</f>
        <v>1.5625</v>
      </c>
      <c r="I14" s="2">
        <f>H15/sum(H14:H15)</f>
        <v>0.3902439024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2">
        <v>2.0</v>
      </c>
      <c r="C15" s="2" t="s">
        <v>21</v>
      </c>
      <c r="D15" s="2">
        <v>500.0</v>
      </c>
      <c r="E15" s="2" t="s">
        <v>19</v>
      </c>
      <c r="F15" s="1">
        <v>250000.0</v>
      </c>
      <c r="G15" s="1">
        <v>500.0</v>
      </c>
      <c r="H15" s="1">
        <v>1.0</v>
      </c>
      <c r="I15" s="2">
        <f>1-I14</f>
        <v>0.6097560976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4.0</v>
      </c>
      <c r="B17" s="2" t="s">
        <v>27</v>
      </c>
      <c r="C17" s="2" t="s">
        <v>25</v>
      </c>
      <c r="D17" s="4">
        <f>F14/(D14-100)-E14</f>
        <v>208.3333333</v>
      </c>
      <c r="E17" s="2"/>
      <c r="F17" s="2" t="s">
        <v>28</v>
      </c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5" t="s">
        <v>10</v>
      </c>
      <c r="C18" s="6" t="s">
        <v>11</v>
      </c>
      <c r="D18" s="6" t="s">
        <v>12</v>
      </c>
      <c r="E18" s="6" t="s">
        <v>13</v>
      </c>
      <c r="F18" s="6" t="s">
        <v>14</v>
      </c>
      <c r="G18" s="2"/>
      <c r="H18" s="2" t="s">
        <v>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">
        <v>1.0</v>
      </c>
      <c r="C19" s="2" t="s">
        <v>17</v>
      </c>
      <c r="D19" s="2">
        <f>D14-100</f>
        <v>300</v>
      </c>
      <c r="E19" s="2">
        <f>E14+D17</f>
        <v>833.3333333</v>
      </c>
      <c r="F19" s="1">
        <f>D19*E19</f>
        <v>250000</v>
      </c>
      <c r="G19" s="1">
        <v>500.0</v>
      </c>
      <c r="H19" s="1">
        <f>E19/D19</f>
        <v>2.777777778</v>
      </c>
      <c r="I19" s="2">
        <f>H20/sum(H19:H20)</f>
        <v>0.2647058824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">
        <v>2.0</v>
      </c>
      <c r="C20" s="2" t="s">
        <v>21</v>
      </c>
      <c r="D20" s="2">
        <v>500.0</v>
      </c>
      <c r="E20" s="2" t="s">
        <v>19</v>
      </c>
      <c r="F20" s="1">
        <v>250000.0</v>
      </c>
      <c r="G20" s="1">
        <v>500.0</v>
      </c>
      <c r="H20" s="1">
        <v>1.0</v>
      </c>
      <c r="I20" s="2">
        <f>1-I19</f>
        <v>0.7352941176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4.0</v>
      </c>
      <c r="B22" s="2" t="s">
        <v>29</v>
      </c>
      <c r="C22" s="2" t="s">
        <v>25</v>
      </c>
      <c r="D22" s="4">
        <v>1.0</v>
      </c>
      <c r="E22" s="2"/>
      <c r="F22" s="2" t="s">
        <v>30</v>
      </c>
      <c r="G22" s="2"/>
      <c r="H22" s="2" t="s">
        <v>31</v>
      </c>
      <c r="I22" s="4">
        <f>D19 - F19/(E19+1)</f>
        <v>0.3595685178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5" t="s">
        <v>10</v>
      </c>
      <c r="C23" s="6" t="s">
        <v>11</v>
      </c>
      <c r="D23" s="6" t="s">
        <v>12</v>
      </c>
      <c r="E23" s="6" t="s">
        <v>13</v>
      </c>
      <c r="F23" s="6" t="s">
        <v>14</v>
      </c>
      <c r="G23" s="2"/>
      <c r="H23" s="2" t="s">
        <v>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">
        <v>1.0</v>
      </c>
      <c r="C24" s="2" t="s">
        <v>17</v>
      </c>
      <c r="D24" s="2">
        <f>D19-I22</f>
        <v>299.6404315</v>
      </c>
      <c r="E24" s="2">
        <f>E19+D22</f>
        <v>834.3333333</v>
      </c>
      <c r="F24" s="1">
        <f>D24*E24</f>
        <v>250000</v>
      </c>
      <c r="G24" s="1">
        <v>500.0</v>
      </c>
      <c r="H24" s="1">
        <f>E24/D24</f>
        <v>2.784448444</v>
      </c>
      <c r="I24" s="2">
        <f>H25/sum(H24:H25)</f>
        <v>0.2642392979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">
        <v>2.0</v>
      </c>
      <c r="C25" s="2" t="s">
        <v>21</v>
      </c>
      <c r="D25" s="2">
        <v>500.0</v>
      </c>
      <c r="E25" s="2" t="s">
        <v>19</v>
      </c>
      <c r="F25" s="1">
        <v>250000.0</v>
      </c>
      <c r="G25" s="1">
        <v>500.0</v>
      </c>
      <c r="H25" s="1">
        <v>1.0</v>
      </c>
      <c r="I25" s="2">
        <f>1-I24</f>
        <v>0.7357607021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4" t="s">
        <v>32</v>
      </c>
      <c r="E29" s="4">
        <f t="shared" ref="E29:F29" si="1">E33/E34</f>
        <v>125.3761284</v>
      </c>
      <c r="F29" s="4">
        <f t="shared" si="1"/>
        <v>209.0859674</v>
      </c>
      <c r="G29" s="4" t="s">
        <v>33</v>
      </c>
      <c r="H29" s="3"/>
      <c r="I29" s="4" t="s">
        <v>34</v>
      </c>
      <c r="J29" s="4" t="s">
        <v>35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4" t="s">
        <v>36</v>
      </c>
      <c r="D30" s="4" t="s">
        <v>37</v>
      </c>
      <c r="E30" s="4">
        <v>100.0</v>
      </c>
      <c r="F30" s="4">
        <v>100.0</v>
      </c>
      <c r="G30" s="3"/>
      <c r="H30" s="3"/>
      <c r="I30" s="4" t="s">
        <v>38</v>
      </c>
      <c r="J30" s="7">
        <v>125.0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4" t="s">
        <v>39</v>
      </c>
      <c r="D31" s="4" t="s">
        <v>40</v>
      </c>
      <c r="E31" s="4">
        <v>500.0</v>
      </c>
      <c r="F31" s="4">
        <f>E29+G9</f>
        <v>625.3761284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4" t="s">
        <v>41</v>
      </c>
      <c r="D32" s="4" t="s">
        <v>42</v>
      </c>
      <c r="E32" s="4">
        <v>500.0</v>
      </c>
      <c r="F32" s="4">
        <f>D14</f>
        <v>400</v>
      </c>
      <c r="G32" s="3"/>
      <c r="H32" s="3"/>
      <c r="I32" s="4" t="s">
        <v>43</v>
      </c>
      <c r="J32" s="4" t="s">
        <v>44</v>
      </c>
      <c r="K32" s="4" t="s">
        <v>45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4" t="s">
        <v>46</v>
      </c>
      <c r="E33" s="4">
        <f t="shared" ref="E33:F33" si="2">E31*E30*1000</f>
        <v>50000000</v>
      </c>
      <c r="F33" s="4">
        <f t="shared" si="2"/>
        <v>62537612.84</v>
      </c>
      <c r="G33" s="3"/>
      <c r="H33" s="3"/>
      <c r="I33" s="4" t="s">
        <v>47</v>
      </c>
      <c r="J33" s="4" t="s">
        <v>48</v>
      </c>
      <c r="K33" s="4" t="s">
        <v>32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4" t="s">
        <v>49</v>
      </c>
      <c r="E34" s="4">
        <f t="shared" ref="E34:F34" si="3">(E32-E30)*997</f>
        <v>398800</v>
      </c>
      <c r="F34" s="4">
        <f t="shared" si="3"/>
        <v>299100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4" t="s">
        <v>50</v>
      </c>
      <c r="E39" s="4">
        <v>100.0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4" t="s">
        <v>40</v>
      </c>
      <c r="E40" s="4">
        <v>500.0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4" t="s">
        <v>42</v>
      </c>
      <c r="E41" s="4">
        <v>300.0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4" t="s">
        <v>46</v>
      </c>
      <c r="E42" s="4">
        <f>E41*E39</f>
        <v>30000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4" t="s">
        <v>51</v>
      </c>
      <c r="E43" s="4">
        <f>E40+E39</f>
        <v>600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4">
        <f>E42/E43</f>
        <v>50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E1" s="8"/>
    </row>
    <row r="2" ht="15.75" customHeight="1">
      <c r="E2" s="8"/>
      <c r="G2" s="9" t="s">
        <v>52</v>
      </c>
    </row>
    <row r="3" ht="15.75" customHeight="1">
      <c r="E3" s="8"/>
      <c r="G3" s="10" t="s">
        <v>53</v>
      </c>
    </row>
    <row r="4" ht="15.75" customHeight="1">
      <c r="E4" s="8" t="s">
        <v>54</v>
      </c>
      <c r="F4" s="11" t="s">
        <v>55</v>
      </c>
      <c r="G4" s="10"/>
    </row>
    <row r="5" ht="15.75" customHeight="1">
      <c r="A5" s="11" t="s">
        <v>56</v>
      </c>
      <c r="B5" s="11">
        <v>500.0</v>
      </c>
      <c r="C5" s="11">
        <v>500.0</v>
      </c>
      <c r="E5" s="8"/>
      <c r="G5" s="10" t="s">
        <v>57</v>
      </c>
    </row>
    <row r="6" ht="15.75" customHeight="1">
      <c r="A6" s="11" t="s">
        <v>58</v>
      </c>
      <c r="B6" s="11">
        <v>500.0</v>
      </c>
      <c r="C6" s="11">
        <v>500.0</v>
      </c>
      <c r="D6" s="11">
        <f>B6*C6</f>
        <v>250000</v>
      </c>
      <c r="E6" s="8">
        <f>C6/sum(B6:C6)</f>
        <v>0.5</v>
      </c>
      <c r="G6" s="10"/>
    </row>
    <row r="7" ht="15.75" customHeight="1">
      <c r="A7" s="11" t="s">
        <v>59</v>
      </c>
      <c r="B7" s="11">
        <v>0.0</v>
      </c>
      <c r="C7" s="11">
        <v>0.0</v>
      </c>
      <c r="E7" s="8"/>
      <c r="G7" s="10" t="s">
        <v>60</v>
      </c>
    </row>
    <row r="8" ht="15.75" customHeight="1">
      <c r="A8" s="11" t="s">
        <v>61</v>
      </c>
      <c r="B8" s="11">
        <f t="shared" ref="B8:C8" si="1">B7+B6</f>
        <v>500</v>
      </c>
      <c r="C8" s="11">
        <f t="shared" si="1"/>
        <v>500</v>
      </c>
      <c r="E8" s="8"/>
      <c r="G8" s="10"/>
    </row>
    <row r="9" ht="15.75" customHeight="1">
      <c r="A9" s="11" t="s">
        <v>62</v>
      </c>
      <c r="E9" s="8"/>
      <c r="G9" s="10" t="s">
        <v>63</v>
      </c>
    </row>
    <row r="10" ht="15.75" customHeight="1">
      <c r="A10" s="11" t="s">
        <v>56</v>
      </c>
      <c r="B10" s="11">
        <v>100.0</v>
      </c>
      <c r="C10" s="11">
        <v>100.0</v>
      </c>
      <c r="E10" s="8"/>
      <c r="G10" s="10"/>
    </row>
    <row r="11" ht="15.75" customHeight="1">
      <c r="A11" s="11" t="s">
        <v>58</v>
      </c>
      <c r="B11" s="11">
        <f>D6/C11</f>
        <v>416.6666667</v>
      </c>
      <c r="C11" s="11">
        <f>C10+C6</f>
        <v>600</v>
      </c>
      <c r="D11" s="11">
        <f>B11*C11</f>
        <v>250000</v>
      </c>
      <c r="E11" s="8">
        <f>C11/sum(B11:C11)</f>
        <v>0.5901639344</v>
      </c>
      <c r="F11" s="11" t="s">
        <v>64</v>
      </c>
      <c r="G11" s="10" t="s">
        <v>65</v>
      </c>
    </row>
    <row r="12" ht="15.75" customHeight="1">
      <c r="A12" s="11" t="s">
        <v>59</v>
      </c>
      <c r="B12" s="11">
        <f t="shared" ref="B12:C12" si="2">B6-B11+B7+B10</f>
        <v>183.3333333</v>
      </c>
      <c r="C12" s="11">
        <f t="shared" si="2"/>
        <v>0</v>
      </c>
      <c r="E12" s="8"/>
      <c r="F12" s="11" t="s">
        <v>64</v>
      </c>
      <c r="G12" s="10"/>
    </row>
    <row r="13" ht="15.75" customHeight="1">
      <c r="A13" s="11" t="s">
        <v>61</v>
      </c>
      <c r="B13" s="11">
        <f t="shared" ref="B13:C13" si="3">B11+B12</f>
        <v>600</v>
      </c>
      <c r="C13" s="11">
        <f t="shared" si="3"/>
        <v>600</v>
      </c>
      <c r="E13" s="8"/>
      <c r="G13" s="10" t="s">
        <v>66</v>
      </c>
    </row>
    <row r="14" ht="15.75" customHeight="1">
      <c r="A14" s="11" t="s">
        <v>67</v>
      </c>
      <c r="E14" s="8"/>
      <c r="G14" s="10"/>
    </row>
    <row r="15" ht="15.75" customHeight="1">
      <c r="A15" s="11" t="s">
        <v>56</v>
      </c>
      <c r="B15" s="11">
        <v>100.0</v>
      </c>
      <c r="C15" s="11">
        <v>100.0</v>
      </c>
      <c r="E15" s="8"/>
      <c r="G15" s="10" t="s">
        <v>68</v>
      </c>
    </row>
    <row r="16" ht="15.75" customHeight="1">
      <c r="A16" s="11" t="s">
        <v>58</v>
      </c>
      <c r="B16" s="11">
        <f>D11/C16</f>
        <v>357.1428571</v>
      </c>
      <c r="C16" s="11">
        <f>C15+C11</f>
        <v>700</v>
      </c>
      <c r="D16" s="11">
        <f>B16*C16</f>
        <v>250000</v>
      </c>
      <c r="E16" s="8">
        <f>C16/sum(B16:C16)</f>
        <v>0.6621621622</v>
      </c>
      <c r="F16" s="11" t="s">
        <v>64</v>
      </c>
      <c r="G16" s="10" t="s">
        <v>69</v>
      </c>
    </row>
    <row r="17" ht="15.75" customHeight="1">
      <c r="A17" s="11" t="s">
        <v>59</v>
      </c>
      <c r="B17" s="11">
        <f t="shared" ref="B17:C17" si="4">B11-B16+B12+B15</f>
        <v>342.8571429</v>
      </c>
      <c r="C17" s="11">
        <f t="shared" si="4"/>
        <v>0</v>
      </c>
      <c r="E17" s="8">
        <f>B17-B12</f>
        <v>159.5238095</v>
      </c>
      <c r="F17" s="11" t="s">
        <v>64</v>
      </c>
      <c r="G17" s="10"/>
    </row>
    <row r="18" ht="15.75" customHeight="1">
      <c r="A18" s="11" t="s">
        <v>61</v>
      </c>
      <c r="B18" s="11">
        <f t="shared" ref="B18:C18" si="5">B16+B17</f>
        <v>700</v>
      </c>
      <c r="C18" s="11">
        <f t="shared" si="5"/>
        <v>700</v>
      </c>
      <c r="E18" s="8"/>
      <c r="G18" s="10" t="s">
        <v>70</v>
      </c>
    </row>
    <row r="19" ht="15.75" customHeight="1">
      <c r="A19" s="11" t="s">
        <v>71</v>
      </c>
      <c r="E19" s="8"/>
      <c r="G19" s="10"/>
    </row>
    <row r="20" ht="15.75" customHeight="1">
      <c r="A20" s="11" t="s">
        <v>56</v>
      </c>
      <c r="B20" s="11">
        <v>1.0</v>
      </c>
      <c r="C20" s="11">
        <v>1.0</v>
      </c>
      <c r="E20" s="8"/>
      <c r="G20" s="10" t="s">
        <v>72</v>
      </c>
    </row>
    <row r="21" ht="15.75" customHeight="1">
      <c r="A21" s="11" t="s">
        <v>58</v>
      </c>
      <c r="B21" s="11">
        <f>D16/C21</f>
        <v>356.6333809</v>
      </c>
      <c r="C21" s="11">
        <f>C20+C16</f>
        <v>701</v>
      </c>
      <c r="D21" s="11">
        <f>B21*C21</f>
        <v>250000</v>
      </c>
      <c r="E21" s="8">
        <f>C21/sum(B21:C21)</f>
        <v>0.6628005627</v>
      </c>
      <c r="F21" s="11" t="s">
        <v>64</v>
      </c>
      <c r="G21" s="10"/>
    </row>
    <row r="22" ht="15.75" customHeight="1">
      <c r="A22" s="11" t="s">
        <v>59</v>
      </c>
      <c r="B22" s="11">
        <f t="shared" ref="B22:C22" si="6">B16-B21+B17+B20</f>
        <v>344.3666191</v>
      </c>
      <c r="C22" s="11">
        <f t="shared" si="6"/>
        <v>0</v>
      </c>
      <c r="E22" s="8"/>
      <c r="F22" s="11" t="s">
        <v>64</v>
      </c>
      <c r="G22" s="10" t="s">
        <v>73</v>
      </c>
    </row>
    <row r="23" ht="15.75" customHeight="1">
      <c r="A23" s="11" t="s">
        <v>61</v>
      </c>
      <c r="B23" s="11">
        <f t="shared" ref="B23:C23" si="7">B21+B22</f>
        <v>701</v>
      </c>
      <c r="C23" s="11">
        <f t="shared" si="7"/>
        <v>701</v>
      </c>
      <c r="E23" s="8"/>
      <c r="G23" s="10"/>
    </row>
    <row r="24" ht="15.75" customHeight="1">
      <c r="E24" s="8"/>
      <c r="G24" s="10" t="s">
        <v>74</v>
      </c>
    </row>
    <row r="25" ht="15.75" customHeight="1">
      <c r="E25" s="8"/>
      <c r="G25" s="10"/>
    </row>
    <row r="26" ht="15.75" customHeight="1">
      <c r="E26" s="8"/>
      <c r="G26" s="10" t="s">
        <v>75</v>
      </c>
    </row>
    <row r="27" ht="15.75" customHeight="1">
      <c r="E27" s="8"/>
      <c r="G27" s="10"/>
    </row>
    <row r="28" ht="15.75" customHeight="1">
      <c r="E28" s="8"/>
      <c r="G28" s="10" t="s">
        <v>76</v>
      </c>
    </row>
    <row r="29" ht="15.75" customHeight="1">
      <c r="E29" s="8"/>
      <c r="G29" s="10"/>
    </row>
    <row r="30" ht="15.75" customHeight="1">
      <c r="E30" s="8"/>
      <c r="G30" s="10" t="s">
        <v>77</v>
      </c>
    </row>
    <row r="31" ht="15.75" customHeight="1">
      <c r="E31" s="8"/>
      <c r="G31" s="10"/>
    </row>
    <row r="32" ht="15.75" customHeight="1">
      <c r="E32" s="8"/>
      <c r="G32" s="10" t="s">
        <v>78</v>
      </c>
    </row>
    <row r="33" ht="15.75" customHeight="1">
      <c r="E33" s="8"/>
      <c r="G33" s="10"/>
    </row>
    <row r="34" ht="15.75" customHeight="1">
      <c r="E34" s="8"/>
      <c r="G34" s="10" t="s">
        <v>79</v>
      </c>
    </row>
    <row r="35" ht="15.75" customHeight="1">
      <c r="E35" s="8"/>
      <c r="G35" s="10"/>
    </row>
    <row r="36" ht="15.75" customHeight="1">
      <c r="E36" s="8"/>
      <c r="G36" s="10" t="s">
        <v>80</v>
      </c>
    </row>
    <row r="37" ht="15.75" customHeight="1">
      <c r="E37" s="8"/>
      <c r="G37" s="10"/>
    </row>
    <row r="38" ht="15.75" customHeight="1">
      <c r="E38" s="8"/>
      <c r="G38" s="9" t="s">
        <v>81</v>
      </c>
    </row>
    <row r="39" ht="15.75" customHeight="1">
      <c r="E39" s="8"/>
      <c r="G39" s="9"/>
    </row>
    <row r="40" ht="15.75" customHeight="1">
      <c r="E40" s="8"/>
      <c r="G40" s="9" t="s">
        <v>82</v>
      </c>
    </row>
    <row r="41" ht="15.75" customHeight="1">
      <c r="E41" s="8"/>
      <c r="G41" s="9"/>
    </row>
    <row r="42" ht="15.75" customHeight="1">
      <c r="E42" s="8"/>
      <c r="G42" s="9" t="s">
        <v>83</v>
      </c>
    </row>
    <row r="43" ht="15.75" customHeight="1">
      <c r="E43" s="8"/>
      <c r="G43" s="9"/>
    </row>
    <row r="44" ht="15.75" customHeight="1">
      <c r="E44" s="8"/>
      <c r="G44" s="9" t="s">
        <v>84</v>
      </c>
    </row>
    <row r="45" ht="15.75" customHeight="1">
      <c r="E45" s="8"/>
      <c r="G45" s="9" t="s">
        <v>85</v>
      </c>
    </row>
    <row r="46" ht="15.75" customHeight="1">
      <c r="E46" s="8"/>
      <c r="G46" s="12" t="s">
        <v>86</v>
      </c>
      <c r="H46" s="12" t="s">
        <v>87</v>
      </c>
    </row>
    <row r="47" ht="15.75" customHeight="1">
      <c r="E47" s="8"/>
      <c r="G47" s="9" t="s">
        <v>88</v>
      </c>
      <c r="H47" s="9" t="s">
        <v>89</v>
      </c>
    </row>
    <row r="48" ht="15.75" customHeight="1">
      <c r="E48" s="8"/>
      <c r="G48" s="9" t="s">
        <v>90</v>
      </c>
      <c r="H48" s="9" t="s">
        <v>91</v>
      </c>
    </row>
    <row r="49" ht="15.75" customHeight="1">
      <c r="E49" s="8"/>
      <c r="G49" s="9" t="s">
        <v>92</v>
      </c>
      <c r="H49" s="9" t="s">
        <v>93</v>
      </c>
    </row>
    <row r="50" ht="15.75" customHeight="1">
      <c r="E50" s="8"/>
      <c r="G50" s="9" t="s">
        <v>94</v>
      </c>
      <c r="H50" s="9" t="s">
        <v>95</v>
      </c>
    </row>
    <row r="51" ht="15.75" customHeight="1">
      <c r="E51" s="8"/>
    </row>
    <row r="52" ht="15.75" customHeight="1">
      <c r="E52" s="8"/>
    </row>
    <row r="53" ht="15.75" customHeight="1">
      <c r="E53" s="8"/>
    </row>
    <row r="54" ht="15.75" customHeight="1">
      <c r="E54" s="8"/>
    </row>
    <row r="55" ht="15.75" customHeight="1">
      <c r="E55" s="8"/>
    </row>
    <row r="56" ht="15.75" customHeight="1">
      <c r="E56" s="8"/>
    </row>
    <row r="57" ht="15.75" customHeight="1">
      <c r="E57" s="8"/>
    </row>
    <row r="58" ht="15.75" customHeight="1">
      <c r="E58" s="8"/>
    </row>
    <row r="59" ht="15.75" customHeight="1">
      <c r="E59" s="8"/>
    </row>
    <row r="60" ht="15.75" customHeight="1">
      <c r="E60" s="8"/>
    </row>
    <row r="61" ht="15.75" customHeight="1">
      <c r="E61" s="8"/>
    </row>
    <row r="62" ht="15.75" customHeight="1">
      <c r="E62" s="8"/>
    </row>
    <row r="63" ht="15.75" customHeight="1">
      <c r="E63" s="8"/>
    </row>
    <row r="64" ht="15.75" customHeight="1">
      <c r="E64" s="8"/>
    </row>
    <row r="65" ht="15.75" customHeight="1">
      <c r="E65" s="8"/>
    </row>
    <row r="66" ht="15.75" customHeight="1">
      <c r="E66" s="8"/>
    </row>
    <row r="67" ht="15.75" customHeight="1">
      <c r="E67" s="8"/>
    </row>
    <row r="68" ht="15.75" customHeight="1">
      <c r="E68" s="8"/>
    </row>
    <row r="69" ht="15.75" customHeight="1">
      <c r="E69" s="8"/>
    </row>
    <row r="70" ht="15.75" customHeight="1">
      <c r="E70" s="8"/>
    </row>
    <row r="71" ht="15.75" customHeight="1">
      <c r="E71" s="8"/>
    </row>
    <row r="72" ht="15.75" customHeight="1">
      <c r="E72" s="8"/>
    </row>
    <row r="73" ht="15.75" customHeight="1">
      <c r="E73" s="8"/>
    </row>
    <row r="74" ht="15.75" customHeight="1">
      <c r="E74" s="8"/>
    </row>
    <row r="75" ht="15.75" customHeight="1">
      <c r="E75" s="8"/>
    </row>
    <row r="76" ht="15.75" customHeight="1">
      <c r="E76" s="8"/>
    </row>
    <row r="77" ht="15.75" customHeight="1">
      <c r="E77" s="8"/>
    </row>
    <row r="78" ht="15.75" customHeight="1">
      <c r="E78" s="8"/>
    </row>
    <row r="79" ht="15.75" customHeight="1">
      <c r="E79" s="8"/>
    </row>
    <row r="80" ht="15.75" customHeight="1">
      <c r="E80" s="8"/>
    </row>
    <row r="81" ht="15.75" customHeight="1">
      <c r="E81" s="8"/>
    </row>
    <row r="82" ht="15.75" customHeight="1">
      <c r="E82" s="8"/>
    </row>
    <row r="83" ht="15.75" customHeight="1">
      <c r="E83" s="8"/>
    </row>
    <row r="84" ht="15.75" customHeight="1">
      <c r="E84" s="8"/>
    </row>
    <row r="85" ht="15.75" customHeight="1">
      <c r="E85" s="8"/>
    </row>
    <row r="86" ht="15.75" customHeight="1">
      <c r="E86" s="8"/>
    </row>
    <row r="87" ht="15.75" customHeight="1">
      <c r="E87" s="8"/>
    </row>
    <row r="88" ht="15.75" customHeight="1">
      <c r="E88" s="8"/>
    </row>
    <row r="89" ht="15.75" customHeight="1">
      <c r="E89" s="8"/>
    </row>
    <row r="90" ht="15.75" customHeight="1">
      <c r="E90" s="8"/>
    </row>
    <row r="91" ht="15.75" customHeight="1">
      <c r="E91" s="8"/>
    </row>
    <row r="92" ht="15.75" customHeight="1">
      <c r="E92" s="8"/>
    </row>
    <row r="93" ht="15.75" customHeight="1">
      <c r="E93" s="8"/>
    </row>
    <row r="94" ht="15.75" customHeight="1">
      <c r="E94" s="8"/>
    </row>
    <row r="95" ht="15.75" customHeight="1">
      <c r="E95" s="8"/>
    </row>
    <row r="96" ht="15.75" customHeight="1">
      <c r="E96" s="8"/>
    </row>
    <row r="97" ht="15.75" customHeight="1">
      <c r="E97" s="8"/>
    </row>
    <row r="98" ht="15.75" customHeight="1">
      <c r="E98" s="8"/>
    </row>
    <row r="99" ht="15.75" customHeight="1">
      <c r="E99" s="8"/>
    </row>
    <row r="100" ht="15.75" customHeight="1">
      <c r="E100" s="8"/>
    </row>
    <row r="101" ht="15.75" customHeight="1">
      <c r="E101" s="8"/>
    </row>
    <row r="102" ht="15.75" customHeight="1">
      <c r="E102" s="8"/>
    </row>
    <row r="103" ht="15.75" customHeight="1">
      <c r="E103" s="8"/>
    </row>
    <row r="104" ht="15.75" customHeight="1">
      <c r="E104" s="8"/>
    </row>
    <row r="105" ht="15.75" customHeight="1">
      <c r="E105" s="8"/>
    </row>
    <row r="106" ht="15.75" customHeight="1">
      <c r="E106" s="8"/>
    </row>
    <row r="107" ht="15.75" customHeight="1">
      <c r="E107" s="8"/>
    </row>
    <row r="108" ht="15.75" customHeight="1">
      <c r="E108" s="8"/>
    </row>
    <row r="109" ht="15.75" customHeight="1">
      <c r="E109" s="8"/>
    </row>
    <row r="110" ht="15.75" customHeight="1">
      <c r="E110" s="8"/>
    </row>
    <row r="111" ht="15.75" customHeight="1">
      <c r="E111" s="8"/>
    </row>
    <row r="112" ht="15.75" customHeight="1">
      <c r="E112" s="8"/>
    </row>
    <row r="113" ht="15.75" customHeight="1">
      <c r="E113" s="8"/>
    </row>
    <row r="114" ht="15.75" customHeight="1">
      <c r="E114" s="8"/>
    </row>
    <row r="115" ht="15.75" customHeight="1">
      <c r="E115" s="8"/>
    </row>
    <row r="116" ht="15.75" customHeight="1">
      <c r="E116" s="8"/>
    </row>
    <row r="117" ht="15.75" customHeight="1">
      <c r="E117" s="8"/>
    </row>
    <row r="118" ht="15.75" customHeight="1">
      <c r="E118" s="8"/>
    </row>
    <row r="119" ht="15.75" customHeight="1">
      <c r="E119" s="8"/>
    </row>
    <row r="120" ht="15.75" customHeight="1">
      <c r="E120" s="8"/>
    </row>
    <row r="121" ht="15.75" customHeight="1">
      <c r="E121" s="8"/>
    </row>
    <row r="122" ht="15.75" customHeight="1">
      <c r="E122" s="8"/>
    </row>
    <row r="123" ht="15.75" customHeight="1">
      <c r="E123" s="8"/>
    </row>
    <row r="124" ht="15.75" customHeight="1">
      <c r="E124" s="8"/>
    </row>
    <row r="125" ht="15.75" customHeight="1">
      <c r="E125" s="8"/>
    </row>
    <row r="126" ht="15.75" customHeight="1">
      <c r="E126" s="8"/>
    </row>
    <row r="127" ht="15.75" customHeight="1">
      <c r="E127" s="8"/>
    </row>
    <row r="128" ht="15.75" customHeight="1">
      <c r="E128" s="8"/>
    </row>
    <row r="129" ht="15.75" customHeight="1">
      <c r="E129" s="8"/>
    </row>
    <row r="130" ht="15.75" customHeight="1">
      <c r="E130" s="8"/>
    </row>
    <row r="131" ht="15.75" customHeight="1">
      <c r="E131" s="8"/>
    </row>
    <row r="132" ht="15.75" customHeight="1">
      <c r="E132" s="8"/>
    </row>
    <row r="133" ht="15.75" customHeight="1">
      <c r="E133" s="8"/>
    </row>
    <row r="134" ht="15.75" customHeight="1">
      <c r="E134" s="8"/>
    </row>
    <row r="135" ht="15.75" customHeight="1">
      <c r="E135" s="8"/>
    </row>
    <row r="136" ht="15.75" customHeight="1">
      <c r="E136" s="8"/>
    </row>
    <row r="137" ht="15.75" customHeight="1">
      <c r="E137" s="8"/>
    </row>
    <row r="138" ht="15.75" customHeight="1">
      <c r="E138" s="8"/>
    </row>
    <row r="139" ht="15.75" customHeight="1">
      <c r="E139" s="8"/>
    </row>
    <row r="140" ht="15.75" customHeight="1">
      <c r="E140" s="8"/>
    </row>
    <row r="141" ht="15.75" customHeight="1">
      <c r="E141" s="8"/>
    </row>
    <row r="142" ht="15.75" customHeight="1">
      <c r="E142" s="8"/>
    </row>
    <row r="143" ht="15.75" customHeight="1">
      <c r="E143" s="8"/>
    </row>
    <row r="144" ht="15.75" customHeight="1">
      <c r="E144" s="8"/>
    </row>
    <row r="145" ht="15.75" customHeight="1">
      <c r="E145" s="8"/>
    </row>
    <row r="146" ht="15.75" customHeight="1">
      <c r="E146" s="8"/>
    </row>
    <row r="147" ht="15.75" customHeight="1">
      <c r="E147" s="8"/>
    </row>
    <row r="148" ht="15.75" customHeight="1">
      <c r="E148" s="8"/>
    </row>
    <row r="149" ht="15.75" customHeight="1">
      <c r="E149" s="8"/>
    </row>
    <row r="150" ht="15.75" customHeight="1">
      <c r="E150" s="8"/>
    </row>
    <row r="151" ht="15.75" customHeight="1">
      <c r="E151" s="8"/>
    </row>
    <row r="152" ht="15.75" customHeight="1">
      <c r="E152" s="8"/>
    </row>
    <row r="153" ht="15.75" customHeight="1">
      <c r="E153" s="8"/>
    </row>
    <row r="154" ht="15.75" customHeight="1">
      <c r="E154" s="8"/>
    </row>
    <row r="155" ht="15.75" customHeight="1">
      <c r="E155" s="8"/>
    </row>
    <row r="156" ht="15.75" customHeight="1">
      <c r="E156" s="8"/>
    </row>
    <row r="157" ht="15.75" customHeight="1">
      <c r="E157" s="8"/>
    </row>
    <row r="158" ht="15.75" customHeight="1">
      <c r="E158" s="8"/>
    </row>
    <row r="159" ht="15.75" customHeight="1">
      <c r="E159" s="8"/>
    </row>
    <row r="160" ht="15.75" customHeight="1">
      <c r="E160" s="8"/>
    </row>
    <row r="161" ht="15.75" customHeight="1">
      <c r="E161" s="8"/>
    </row>
    <row r="162" ht="15.75" customHeight="1">
      <c r="E162" s="8"/>
    </row>
    <row r="163" ht="15.75" customHeight="1">
      <c r="E163" s="8"/>
    </row>
    <row r="164" ht="15.75" customHeight="1">
      <c r="E164" s="8"/>
    </row>
    <row r="165" ht="15.75" customHeight="1">
      <c r="E165" s="8"/>
    </row>
    <row r="166" ht="15.75" customHeight="1">
      <c r="E166" s="8"/>
    </row>
    <row r="167" ht="15.75" customHeight="1">
      <c r="E167" s="8"/>
    </row>
    <row r="168" ht="15.75" customHeight="1">
      <c r="E168" s="8"/>
    </row>
    <row r="169" ht="15.75" customHeight="1">
      <c r="E169" s="8"/>
    </row>
    <row r="170" ht="15.75" customHeight="1">
      <c r="E170" s="8"/>
    </row>
    <row r="171" ht="15.75" customHeight="1">
      <c r="E171" s="8"/>
    </row>
    <row r="172" ht="15.75" customHeight="1">
      <c r="E172" s="8"/>
    </row>
    <row r="173" ht="15.75" customHeight="1">
      <c r="E173" s="8"/>
    </row>
    <row r="174" ht="15.75" customHeight="1">
      <c r="E174" s="8"/>
    </row>
    <row r="175" ht="15.75" customHeight="1">
      <c r="E175" s="8"/>
    </row>
    <row r="176" ht="15.75" customHeight="1">
      <c r="E176" s="8"/>
    </row>
    <row r="177" ht="15.75" customHeight="1">
      <c r="E177" s="8"/>
    </row>
    <row r="178" ht="15.75" customHeight="1">
      <c r="E178" s="8"/>
    </row>
    <row r="179" ht="15.75" customHeight="1">
      <c r="E179" s="8"/>
    </row>
    <row r="180" ht="15.75" customHeight="1">
      <c r="E180" s="8"/>
    </row>
    <row r="181" ht="15.75" customHeight="1">
      <c r="E181" s="8"/>
    </row>
    <row r="182" ht="15.75" customHeight="1">
      <c r="E182" s="8"/>
    </row>
    <row r="183" ht="15.75" customHeight="1">
      <c r="E183" s="8"/>
    </row>
    <row r="184" ht="15.75" customHeight="1">
      <c r="E184" s="8"/>
    </row>
    <row r="185" ht="15.75" customHeight="1">
      <c r="E185" s="8"/>
    </row>
    <row r="186" ht="15.75" customHeight="1">
      <c r="E186" s="8"/>
    </row>
    <row r="187" ht="15.75" customHeight="1">
      <c r="E187" s="8"/>
    </row>
    <row r="188" ht="15.75" customHeight="1">
      <c r="E188" s="8"/>
    </row>
    <row r="189" ht="15.75" customHeight="1">
      <c r="E189" s="8"/>
    </row>
    <row r="190" ht="15.75" customHeight="1">
      <c r="E190" s="8"/>
    </row>
    <row r="191" ht="15.75" customHeight="1">
      <c r="E191" s="8"/>
    </row>
    <row r="192" ht="15.75" customHeight="1">
      <c r="E192" s="8"/>
    </row>
    <row r="193" ht="15.75" customHeight="1">
      <c r="E193" s="8"/>
    </row>
    <row r="194" ht="15.75" customHeight="1">
      <c r="E194" s="8"/>
    </row>
    <row r="195" ht="15.75" customHeight="1">
      <c r="E195" s="8"/>
    </row>
    <row r="196" ht="15.75" customHeight="1">
      <c r="E196" s="8"/>
    </row>
    <row r="197" ht="15.75" customHeight="1">
      <c r="E197" s="8"/>
    </row>
    <row r="198" ht="15.75" customHeight="1">
      <c r="E198" s="8"/>
    </row>
    <row r="199" ht="15.75" customHeight="1">
      <c r="E199" s="8"/>
    </row>
    <row r="200" ht="15.75" customHeight="1">
      <c r="E200" s="8"/>
    </row>
    <row r="201" ht="15.75" customHeight="1">
      <c r="E201" s="8"/>
    </row>
    <row r="202" ht="15.75" customHeight="1">
      <c r="E202" s="8"/>
    </row>
    <row r="203" ht="15.75" customHeight="1">
      <c r="E203" s="8"/>
    </row>
    <row r="204" ht="15.75" customHeight="1">
      <c r="E204" s="8"/>
    </row>
    <row r="205" ht="15.75" customHeight="1">
      <c r="E205" s="8"/>
    </row>
    <row r="206" ht="15.75" customHeight="1">
      <c r="E206" s="8"/>
    </row>
    <row r="207" ht="15.75" customHeight="1">
      <c r="E207" s="8"/>
    </row>
    <row r="208" ht="15.75" customHeight="1">
      <c r="E208" s="8"/>
    </row>
    <row r="209" ht="15.75" customHeight="1">
      <c r="E209" s="8"/>
    </row>
    <row r="210" ht="15.75" customHeight="1">
      <c r="E210" s="8"/>
    </row>
    <row r="211" ht="15.75" customHeight="1">
      <c r="E211" s="8"/>
    </row>
    <row r="212" ht="15.75" customHeight="1">
      <c r="E212" s="8"/>
    </row>
    <row r="213" ht="15.75" customHeight="1">
      <c r="E213" s="8"/>
    </row>
    <row r="214" ht="15.75" customHeight="1">
      <c r="E214" s="8"/>
    </row>
    <row r="215" ht="15.75" customHeight="1">
      <c r="E215" s="8"/>
    </row>
    <row r="216" ht="15.75" customHeight="1">
      <c r="E216" s="8"/>
    </row>
    <row r="217" ht="15.75" customHeight="1">
      <c r="E217" s="8"/>
    </row>
    <row r="218" ht="15.75" customHeight="1">
      <c r="E218" s="8"/>
    </row>
    <row r="219" ht="15.75" customHeight="1">
      <c r="E219" s="8"/>
    </row>
    <row r="220" ht="15.75" customHeight="1">
      <c r="E220" s="8"/>
    </row>
    <row r="221" ht="15.75" customHeight="1">
      <c r="E221" s="8"/>
    </row>
    <row r="222" ht="15.75" customHeight="1">
      <c r="E222" s="8"/>
    </row>
    <row r="223" ht="15.75" customHeight="1">
      <c r="E223" s="8"/>
    </row>
    <row r="224" ht="15.75" customHeight="1">
      <c r="E224" s="8"/>
    </row>
    <row r="225" ht="15.75" customHeight="1">
      <c r="E225" s="8"/>
    </row>
    <row r="226" ht="15.75" customHeight="1">
      <c r="E226" s="8"/>
    </row>
    <row r="227" ht="15.75" customHeight="1">
      <c r="E227" s="8"/>
    </row>
    <row r="228" ht="15.75" customHeight="1">
      <c r="E228" s="8"/>
    </row>
    <row r="229" ht="15.75" customHeight="1">
      <c r="E229" s="8"/>
    </row>
    <row r="230" ht="15.75" customHeight="1">
      <c r="E230" s="8"/>
    </row>
    <row r="231" ht="15.75" customHeight="1">
      <c r="E231" s="8"/>
    </row>
    <row r="232" ht="15.75" customHeight="1">
      <c r="E232" s="8"/>
    </row>
    <row r="233" ht="15.75" customHeight="1">
      <c r="E233" s="8"/>
    </row>
    <row r="234" ht="15.75" customHeight="1">
      <c r="E234" s="8"/>
    </row>
    <row r="235" ht="15.75" customHeight="1">
      <c r="E235" s="8"/>
    </row>
    <row r="236" ht="15.75" customHeight="1">
      <c r="E236" s="8"/>
    </row>
    <row r="237" ht="15.75" customHeight="1">
      <c r="E237" s="8"/>
    </row>
    <row r="238" ht="15.75" customHeight="1">
      <c r="E238" s="8"/>
    </row>
    <row r="239" ht="15.75" customHeight="1">
      <c r="E239" s="8"/>
    </row>
    <row r="240" ht="15.75" customHeight="1">
      <c r="E240" s="8"/>
    </row>
    <row r="241" ht="15.75" customHeight="1">
      <c r="E241" s="8"/>
    </row>
    <row r="242" ht="15.75" customHeight="1">
      <c r="E242" s="8"/>
    </row>
    <row r="243" ht="15.75" customHeight="1">
      <c r="E243" s="8"/>
    </row>
    <row r="244" ht="15.75" customHeight="1">
      <c r="E244" s="8"/>
    </row>
    <row r="245" ht="15.75" customHeight="1">
      <c r="E245" s="8"/>
    </row>
    <row r="246" ht="15.75" customHeight="1">
      <c r="E246" s="8"/>
    </row>
    <row r="247" ht="15.75" customHeight="1">
      <c r="E247" s="8"/>
    </row>
    <row r="248" ht="15.75" customHeight="1">
      <c r="E248" s="8"/>
    </row>
    <row r="249" ht="15.75" customHeight="1">
      <c r="E249" s="8"/>
    </row>
    <row r="250" ht="15.75" customHeight="1">
      <c r="E250" s="8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